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codeName="ThisWorkbook" hidePivotFieldList="1"/>
  <xr:revisionPtr revIDLastSave="0" documentId="13_ncr:1_{7D536658-DD9F-4071-B9DF-0B78DD7E77E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Novo Gantt" sheetId="15" r:id="rId1"/>
    <sheet name="Gráfico Gantt" sheetId="24" r:id="rId2"/>
  </sheets>
  <definedNames>
    <definedName name="Início_do_projeto">#REF!</definedName>
    <definedName name="Semana_de_exibição">#REF!</definedName>
  </definedNames>
  <calcPr calcId="179021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5" l="1"/>
  <c r="H15" i="15" s="1"/>
  <c r="E16" i="15"/>
  <c r="H16" i="15" s="1"/>
  <c r="E17" i="15"/>
  <c r="H17" i="15" s="1"/>
  <c r="H18" i="15"/>
  <c r="H19" i="15"/>
  <c r="E20" i="15"/>
  <c r="H20" i="15" s="1"/>
  <c r="E21" i="15"/>
  <c r="H21" i="15" s="1"/>
  <c r="E22" i="15"/>
  <c r="H22" i="15" s="1"/>
  <c r="E23" i="15"/>
  <c r="H23" i="15" s="1"/>
  <c r="E24" i="15"/>
  <c r="H24" i="15" s="1"/>
  <c r="E25" i="15"/>
  <c r="H25" i="15" s="1"/>
  <c r="E26" i="15"/>
  <c r="H26" i="15" s="1"/>
  <c r="E14" i="15" l="1"/>
  <c r="H3" i="15" l="1"/>
  <c r="H14" i="15" l="1"/>
</calcChain>
</file>

<file path=xl/sharedStrings.xml><?xml version="1.0" encoding="utf-8"?>
<sst xmlns="http://schemas.openxmlformats.org/spreadsheetml/2006/main" count="57" uniqueCount="36">
  <si>
    <t>Sebastião</t>
  </si>
  <si>
    <t>Anderson</t>
  </si>
  <si>
    <t>Gantt</t>
  </si>
  <si>
    <t>Relatório</t>
  </si>
  <si>
    <t>Status</t>
  </si>
  <si>
    <t>Data de entrega</t>
  </si>
  <si>
    <t>Situação</t>
  </si>
  <si>
    <t>Backlog do produto</t>
  </si>
  <si>
    <t>Luís</t>
  </si>
  <si>
    <t>Tarefa</t>
  </si>
  <si>
    <t>User Story</t>
  </si>
  <si>
    <t>Fluxograma</t>
  </si>
  <si>
    <t>Colab/Python</t>
  </si>
  <si>
    <t>Rótulos de Linha</t>
  </si>
  <si>
    <t>Total Geral</t>
  </si>
  <si>
    <t>Rótulos de Coluna</t>
  </si>
  <si>
    <t>Data de Início</t>
  </si>
  <si>
    <t>Duração em dias</t>
  </si>
  <si>
    <t>Data de Término</t>
  </si>
  <si>
    <t>Soma de Duração em dias</t>
  </si>
  <si>
    <t xml:space="preserve"> Cadeia produtiva Metalúrgica(USINAGEM)</t>
  </si>
  <si>
    <t>INTEGRANTES:</t>
  </si>
  <si>
    <t>PO: ANDERSON SANTOS</t>
  </si>
  <si>
    <t>SCRUM MASTER: JOSÉ SÉRGIO</t>
  </si>
  <si>
    <t>Scrum team: Sebastião Leandro</t>
  </si>
  <si>
    <t>Scrum team: Luís Carlos</t>
  </si>
  <si>
    <t>Integrante</t>
  </si>
  <si>
    <t>Sérgio</t>
  </si>
  <si>
    <t>Apresentação (CANVA)</t>
  </si>
  <si>
    <t>Gráfico Gantt</t>
  </si>
  <si>
    <t>Mapa Mental</t>
  </si>
  <si>
    <t>Github do grupo</t>
  </si>
  <si>
    <t>2° sprint (10/11/2025)</t>
  </si>
  <si>
    <t>Power bi (dados exp.)</t>
  </si>
  <si>
    <t>Power bi (dados imp.)</t>
  </si>
  <si>
    <t>Sérgio /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</si>
</sst>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ddd\,\ d/m/yyyy"/>
    <numFmt numFmtId="167" formatCode="d/m/yy;@"/>
    <numFmt numFmtId="168" formatCode="[$-F800]dddd\,\ mmmm\ dd\,\ yyyy"/>
    <numFmt numFmtId="169" formatCode="[$-416]d\-mmm;@"/>
  </numFmts>
  <fonts count="26" x14ac:knownFonts="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18"/>
      <name val="Arial"/>
      <family val="2"/>
    </font>
    <font>
      <b/>
      <sz val="18"/>
      <color rgb="FF002060"/>
      <name val="Arial"/>
      <family val="2"/>
    </font>
    <font>
      <sz val="18"/>
      <color rgb="FF002060"/>
      <name val="Arial"/>
      <family val="2"/>
    </font>
    <font>
      <sz val="1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6" fillId="0" borderId="0"/>
    <xf numFmtId="165" fontId="3" fillId="0" borderId="2" applyFont="0" applyFill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Protection="0">
      <alignment horizontal="right" indent="1"/>
    </xf>
    <xf numFmtId="166" fontId="3" fillId="0" borderId="2">
      <alignment horizontal="center" vertical="center"/>
    </xf>
    <xf numFmtId="167" fontId="3" fillId="0" borderId="1" applyFill="0">
      <alignment horizontal="center" vertical="center"/>
    </xf>
    <xf numFmtId="0" fontId="3" fillId="0" borderId="1" applyFill="0">
      <alignment horizontal="center" vertical="center"/>
    </xf>
    <xf numFmtId="0" fontId="3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3" applyNumberFormat="0" applyAlignment="0" applyProtection="0"/>
    <xf numFmtId="0" fontId="13" fillId="7" borderId="4" applyNumberFormat="0" applyAlignment="0" applyProtection="0"/>
    <xf numFmtId="0" fontId="14" fillId="7" borderId="3" applyNumberFormat="0" applyAlignment="0" applyProtection="0"/>
    <xf numFmtId="0" fontId="15" fillId="0" borderId="5" applyNumberFormat="0" applyFill="0" applyAlignment="0" applyProtection="0"/>
    <xf numFmtId="0" fontId="16" fillId="8" borderId="6" applyNumberFormat="0" applyAlignment="0" applyProtection="0"/>
    <xf numFmtId="0" fontId="17" fillId="0" borderId="0" applyNumberFormat="0" applyFill="0" applyBorder="0" applyAlignment="0" applyProtection="0"/>
    <xf numFmtId="0" fontId="3" fillId="9" borderId="7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8" applyNumberFormat="0" applyFill="0" applyAlignment="0" applyProtection="0"/>
    <xf numFmtId="0" fontId="6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6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6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6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6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6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21" fillId="35" borderId="13" xfId="0" applyFont="1" applyFill="1" applyBorder="1"/>
    <xf numFmtId="0" fontId="21" fillId="35" borderId="10" xfId="0" applyFont="1" applyFill="1" applyBorder="1"/>
    <xf numFmtId="168" fontId="19" fillId="0" borderId="31" xfId="0" applyNumberFormat="1" applyFont="1" applyBorder="1"/>
    <xf numFmtId="0" fontId="23" fillId="2" borderId="12" xfId="0" applyFont="1" applyFill="1" applyBorder="1" applyAlignment="1">
      <alignment horizontal="center" vertical="center"/>
    </xf>
    <xf numFmtId="169" fontId="24" fillId="2" borderId="12" xfId="0" applyNumberFormat="1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169" fontId="20" fillId="2" borderId="12" xfId="0" applyNumberFormat="1" applyFont="1" applyFill="1" applyBorder="1" applyAlignment="1">
      <alignment horizontal="center" vertical="center"/>
    </xf>
    <xf numFmtId="0" fontId="21" fillId="35" borderId="9" xfId="0" applyFont="1" applyFill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3" fillId="2" borderId="11" xfId="0" applyFont="1" applyFill="1" applyBorder="1" applyAlignment="1">
      <alignment horizontal="center" vertical="center"/>
    </xf>
    <xf numFmtId="169" fontId="24" fillId="2" borderId="11" xfId="0" applyNumberFormat="1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169" fontId="20" fillId="2" borderId="11" xfId="0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/>
    </xf>
    <xf numFmtId="0" fontId="19" fillId="2" borderId="20" xfId="0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32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169" fontId="20" fillId="2" borderId="30" xfId="0" applyNumberFormat="1" applyFont="1" applyFill="1" applyBorder="1" applyAlignment="1">
      <alignment horizontal="center" vertical="center"/>
    </xf>
    <xf numFmtId="169" fontId="20" fillId="2" borderId="31" xfId="0" applyNumberFormat="1" applyFont="1" applyFill="1" applyBorder="1" applyAlignment="1">
      <alignment horizontal="center" vertical="center"/>
    </xf>
    <xf numFmtId="14" fontId="19" fillId="34" borderId="31" xfId="0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169" fontId="22" fillId="2" borderId="24" xfId="0" applyNumberFormat="1" applyFont="1" applyFill="1" applyBorder="1" applyAlignment="1">
      <alignment horizontal="center" vertical="center"/>
    </xf>
    <xf numFmtId="169" fontId="22" fillId="2" borderId="28" xfId="0" applyNumberFormat="1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169" fontId="22" fillId="2" borderId="25" xfId="0" applyNumberFormat="1" applyFont="1" applyFill="1" applyBorder="1" applyAlignment="1">
      <alignment vertical="center"/>
    </xf>
    <xf numFmtId="169" fontId="22" fillId="2" borderId="29" xfId="0" applyNumberFormat="1" applyFont="1" applyFill="1" applyBorder="1" applyAlignment="1">
      <alignment vertical="center"/>
    </xf>
    <xf numFmtId="0" fontId="0" fillId="0" borderId="0" xfId="0" applyAlignment="1">
      <alignment horizontal="left" indent="1"/>
    </xf>
  </cellXfs>
  <cellStyles count="54">
    <cellStyle name="20% - Ênfase1" xfId="31" builtinId="30" customBuiltin="1"/>
    <cellStyle name="20% - Ênfase2" xfId="35" builtinId="34" customBuiltin="1"/>
    <cellStyle name="20% - Ênfase3" xfId="39" builtinId="38" customBuiltin="1"/>
    <cellStyle name="20% - Ênfase4" xfId="43" builtinId="42" customBuiltin="1"/>
    <cellStyle name="20% - Ênfase5" xfId="47" builtinId="46" customBuiltin="1"/>
    <cellStyle name="20% - Ênfase6" xfId="51" builtinId="50" customBuiltin="1"/>
    <cellStyle name="40% - Ênfase1" xfId="32" builtinId="31" customBuiltin="1"/>
    <cellStyle name="40% - Ênfase2" xfId="36" builtinId="35" customBuiltin="1"/>
    <cellStyle name="40% - Ênfase3" xfId="40" builtinId="39" customBuiltin="1"/>
    <cellStyle name="40% - Ênfase4" xfId="44" builtinId="43" customBuiltin="1"/>
    <cellStyle name="40% - Ênfase5" xfId="48" builtinId="47" customBuiltin="1"/>
    <cellStyle name="40% - Ênfase6" xfId="52" builtinId="51" customBuiltin="1"/>
    <cellStyle name="60% - Ênfase1" xfId="33" builtinId="32" customBuiltin="1"/>
    <cellStyle name="60% - Ênfase2" xfId="37" builtinId="36" customBuiltin="1"/>
    <cellStyle name="60% - Ênfase3" xfId="41" builtinId="40" customBuiltin="1"/>
    <cellStyle name="60% - Ênfase4" xfId="45" builtinId="44" customBuiltin="1"/>
    <cellStyle name="60% - Ênfase5" xfId="49" builtinId="48" customBuiltin="1"/>
    <cellStyle name="60% - Ênfase6" xfId="53" builtinId="52" customBuiltin="1"/>
    <cellStyle name="Bom" xfId="18" builtinId="26" customBuiltin="1"/>
    <cellStyle name="Cálculo" xfId="23" builtinId="22" customBuiltin="1"/>
    <cellStyle name="Célula de Verificação" xfId="25" builtinId="23" customBuiltin="1"/>
    <cellStyle name="Célula Vinculada" xfId="24" builtinId="24" customBuiltin="1"/>
    <cellStyle name="Data" xfId="10" xr:uid="{00000000-0005-0000-0000-000001000000}"/>
    <cellStyle name="Ênfase1" xfId="30" builtinId="29" customBuiltin="1"/>
    <cellStyle name="Ênfase2" xfId="34" builtinId="33" customBuiltin="1"/>
    <cellStyle name="Ênfase3" xfId="38" builtinId="37" customBuiltin="1"/>
    <cellStyle name="Ênfase4" xfId="42" builtinId="41" customBuiltin="1"/>
    <cellStyle name="Ênfase5" xfId="46" builtinId="45" customBuiltin="1"/>
    <cellStyle name="Ênfase6" xfId="50" builtinId="49" customBuiltin="1"/>
    <cellStyle name="Entrada" xfId="21" builtinId="20" customBuiltin="1"/>
    <cellStyle name="Hiperlink" xfId="1" builtinId="8" customBuiltin="1"/>
    <cellStyle name="Hiperlink Visitado" xfId="13" builtinId="9" customBuiltin="1"/>
    <cellStyle name="Início do Projeto" xfId="9" xr:uid="{00000000-0005-0000-0000-000009000000}"/>
    <cellStyle name="Moeda" xfId="15" builtinId="4" customBuiltin="1"/>
    <cellStyle name="Moeda [0]" xfId="16" builtinId="7" customBuiltin="1"/>
    <cellStyle name="Neutro" xfId="20" builtinId="28" customBuiltin="1"/>
    <cellStyle name="Nome" xfId="11" xr:uid="{00000000-0005-0000-0000-000006000000}"/>
    <cellStyle name="Normal" xfId="0" builtinId="0" customBuiltin="1"/>
    <cellStyle name="Nota" xfId="27" builtinId="10" customBuiltin="1"/>
    <cellStyle name="Porcentagem" xfId="2" builtinId="5" customBuiltin="1"/>
    <cellStyle name="Ruim" xfId="19" builtinId="27" customBuiltin="1"/>
    <cellStyle name="Saída" xfId="22" builtinId="21" customBuiltin="1"/>
    <cellStyle name="Separador de milhares [0]" xfId="14" builtinId="6" customBuiltin="1"/>
    <cellStyle name="Tarefa" xfId="12" xr:uid="{00000000-0005-0000-0000-00000A000000}"/>
    <cellStyle name="Texto de Aviso" xfId="26" builtinId="11" customBuiltin="1"/>
    <cellStyle name="Texto Explicativo" xfId="28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7" builtinId="19" customBuiltin="1"/>
    <cellStyle name="Total" xfId="29" builtinId="25" customBuiltin="1"/>
    <cellStyle name="Vírgula" xfId="4" builtinId="3" customBuiltin="1"/>
    <cellStyle name="zTextoOculto" xfId="3" xr:uid="{00000000-0005-0000-0000-00000C000000}"/>
  </cellStyles>
  <dxfs count="1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[Novo Gantt.xlsx]Gráfico Gantt!Tabela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Gantt'!$B$3:$B$4</c:f>
              <c:strCache>
                <c:ptCount val="1"/>
                <c:pt idx="0">
                  <c:v>06/10/2025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'Gráfico Gantt'!$A$5:$A$14</c:f>
              <c:multiLvlStrCache>
                <c:ptCount val="8"/>
                <c:lvl>
                  <c:pt idx="4">
                    <c:v>Relatório</c:v>
                  </c:pt>
                  <c:pt idx="5">
                    <c:v>Github do grupo</c:v>
                  </c:pt>
                  <c:pt idx="6">
                    <c:v>Power bi (dados imp.)</c:v>
                  </c:pt>
                  <c:pt idx="7">
                    <c:v>Power bi (dados exp.)</c:v>
                  </c:pt>
                </c:lvl>
                <c:lvl>
                  <c:pt idx="0">
                    <c:v>Anderson</c:v>
                  </c:pt>
                  <c:pt idx="1">
                    <c:v>Luís</c:v>
                  </c:pt>
                  <c:pt idx="2">
                    <c:v>Sebastião</c:v>
                  </c:pt>
                  <c:pt idx="3">
                    <c:v>Sérgio</c:v>
                  </c:pt>
                  <c:pt idx="4">
                    <c:v>Sérgio / Anderson</c:v>
                  </c:pt>
                </c:lvl>
              </c:multiLvlStrCache>
            </c:multiLvlStrRef>
          </c:cat>
          <c:val>
            <c:numRef>
              <c:f>'Gráfico Gantt'!$B$5:$B$14</c:f>
              <c:numCache>
                <c:formatCode>General</c:formatCode>
                <c:ptCount val="8"/>
                <c:pt idx="0">
                  <c:v>30</c:v>
                </c:pt>
                <c:pt idx="1">
                  <c:v>33</c:v>
                </c:pt>
                <c:pt idx="2">
                  <c:v>46</c:v>
                </c:pt>
                <c:pt idx="3">
                  <c:v>24</c:v>
                </c:pt>
                <c:pt idx="4">
                  <c:v>57</c:v>
                </c:pt>
                <c:pt idx="5">
                  <c:v>57</c:v>
                </c:pt>
                <c:pt idx="6">
                  <c:v>66</c:v>
                </c:pt>
                <c:pt idx="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E-429F-BA81-117C74C9DD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41978064"/>
        <c:axId val="978997104"/>
      </c:barChart>
      <c:catAx>
        <c:axId val="114197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997104"/>
        <c:crosses val="autoZero"/>
        <c:auto val="1"/>
        <c:lblAlgn val="ctr"/>
        <c:lblOffset val="100"/>
        <c:noMultiLvlLbl val="0"/>
      </c:catAx>
      <c:valAx>
        <c:axId val="97899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9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[Novo Gantt.xlsx]Gráfico Gantt!Tabela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Gantt'!$B$3:$B$4</c:f>
              <c:strCache>
                <c:ptCount val="1"/>
                <c:pt idx="0">
                  <c:v>06/10/2025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'Gráfico Gantt'!$A$5:$A$14</c:f>
              <c:multiLvlStrCache>
                <c:ptCount val="8"/>
                <c:lvl>
                  <c:pt idx="4">
                    <c:v>Relatório</c:v>
                  </c:pt>
                  <c:pt idx="5">
                    <c:v>Github do grupo</c:v>
                  </c:pt>
                  <c:pt idx="6">
                    <c:v>Power bi (dados imp.)</c:v>
                  </c:pt>
                  <c:pt idx="7">
                    <c:v>Power bi (dados exp.)</c:v>
                  </c:pt>
                </c:lvl>
                <c:lvl>
                  <c:pt idx="0">
                    <c:v>Anderson</c:v>
                  </c:pt>
                  <c:pt idx="1">
                    <c:v>Luís</c:v>
                  </c:pt>
                  <c:pt idx="2">
                    <c:v>Sebastião</c:v>
                  </c:pt>
                  <c:pt idx="3">
                    <c:v>Sérgio</c:v>
                  </c:pt>
                  <c:pt idx="4">
                    <c:v>Sérgio / Anderson</c:v>
                  </c:pt>
                </c:lvl>
              </c:multiLvlStrCache>
            </c:multiLvlStrRef>
          </c:cat>
          <c:val>
            <c:numRef>
              <c:f>'Gráfico Gantt'!$B$5:$B$14</c:f>
              <c:numCache>
                <c:formatCode>General</c:formatCode>
                <c:ptCount val="8"/>
                <c:pt idx="0">
                  <c:v>30</c:v>
                </c:pt>
                <c:pt idx="1">
                  <c:v>33</c:v>
                </c:pt>
                <c:pt idx="2">
                  <c:v>46</c:v>
                </c:pt>
                <c:pt idx="3">
                  <c:v>24</c:v>
                </c:pt>
                <c:pt idx="4">
                  <c:v>57</c:v>
                </c:pt>
                <c:pt idx="5">
                  <c:v>57</c:v>
                </c:pt>
                <c:pt idx="6">
                  <c:v>66</c:v>
                </c:pt>
                <c:pt idx="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0-4147-9384-8E764424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1978064"/>
        <c:axId val="978997104"/>
      </c:barChart>
      <c:catAx>
        <c:axId val="114197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997104"/>
        <c:crosses val="autoZero"/>
        <c:auto val="1"/>
        <c:lblAlgn val="ctr"/>
        <c:lblOffset val="100"/>
        <c:noMultiLvlLbl val="0"/>
      </c:catAx>
      <c:valAx>
        <c:axId val="97899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9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10583</xdr:colOff>
      <xdr:row>2</xdr:row>
      <xdr:rowOff>2</xdr:rowOff>
    </xdr:from>
    <xdr:to>
      <xdr:col>6</xdr:col>
      <xdr:colOff>7524750</xdr:colOff>
      <xdr:row>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AC6927-DDF9-4977-8A1F-A6029302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0</xdr:rowOff>
    </xdr:from>
    <xdr:to>
      <xdr:col>16</xdr:col>
      <xdr:colOff>204787</xdr:colOff>
      <xdr:row>24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15A40A-B8BB-4DCE-BD15-0563A65BD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94.899549884256" createdVersion="6" refreshedVersion="6" minRefreshableVersion="3" recordCount="14" xr:uid="{FADAAF24-1911-4632-8B2B-ED8C0C4C7B9A}">
  <cacheSource type="worksheet">
    <worksheetSource ref="A12:D26" sheet="Novo Gantt"/>
  </cacheSource>
  <cacheFields count="4">
    <cacheField name="Tarefa" numFmtId="0">
      <sharedItems containsBlank="1" count="16">
        <m/>
        <s v="User Story"/>
        <s v="Backlog do produto"/>
        <s v="Mapa Mental"/>
        <s v="Fluxograma"/>
        <s v="Relatório"/>
        <s v="Github do grupo"/>
        <s v="Gantt"/>
        <s v="Colab/Python"/>
        <s v="Power bi (dados imp.)"/>
        <s v="Power bi (dados exp.)"/>
        <s v="Apresentação (CANVA)"/>
        <s v="Power bi (Análise dos dados)" u="1"/>
        <s v="Power bi (Análise dos dados exportação)" u="1"/>
        <s v="Power bi (Análise dos dados importação)" u="1"/>
        <s v="Planilhas em Excel" u="1"/>
      </sharedItems>
    </cacheField>
    <cacheField name="Integrante" numFmtId="0">
      <sharedItems containsBlank="1" count="14">
        <m/>
        <s v="Anderson"/>
        <s v="Sebastião"/>
        <s v="Sérgio / Anderson"/>
        <s v="Sérgio"/>
        <s v="Luís"/>
        <s v="Anderson / Sérgio / Luís / Sebastião" u="1"/>
        <s v="Santos/Sérgio" u="1"/>
        <s v="Santos/Sérgio/Luís/Léo" u="1"/>
        <s v="Santos/Sérgio/Luís/Sebastião" u="1"/>
        <s v="Seastião/Anderson" u="1"/>
        <s v="Anderson/Sebastião" u="1"/>
        <s v="Sérgio/Santos" u="1"/>
        <s v="Sebastião/Anderson" u="1"/>
      </sharedItems>
    </cacheField>
    <cacheField name="Data de Início" numFmtId="169">
      <sharedItems containsNonDate="0" containsDate="1" containsString="0" containsBlank="1" minDate="2025-10-06T00:00:00" maxDate="2025-10-20T00:00:00" count="4">
        <m/>
        <d v="2025-10-06T00:00:00"/>
        <d v="2025-10-18T00:00:00" u="1"/>
        <d v="2025-10-19T00:00:00" u="1"/>
      </sharedItems>
    </cacheField>
    <cacheField name="Duração em dias" numFmtId="0">
      <sharedItems containsString="0" containsBlank="1" containsNumber="1" containsInteger="1" minValue="12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m/>
  </r>
  <r>
    <x v="1"/>
    <x v="1"/>
    <x v="1"/>
    <n v="14"/>
  </r>
  <r>
    <x v="2"/>
    <x v="1"/>
    <x v="1"/>
    <n v="16"/>
  </r>
  <r>
    <x v="3"/>
    <x v="2"/>
    <x v="1"/>
    <n v="23"/>
  </r>
  <r>
    <x v="4"/>
    <x v="2"/>
    <x v="1"/>
    <n v="23"/>
  </r>
  <r>
    <x v="5"/>
    <x v="3"/>
    <x v="1"/>
    <n v="57"/>
  </r>
  <r>
    <x v="6"/>
    <x v="3"/>
    <x v="1"/>
    <n v="57"/>
  </r>
  <r>
    <x v="7"/>
    <x v="4"/>
    <x v="1"/>
    <n v="12"/>
  </r>
  <r>
    <x v="8"/>
    <x v="4"/>
    <x v="1"/>
    <n v="12"/>
  </r>
  <r>
    <x v="9"/>
    <x v="3"/>
    <x v="1"/>
    <n v="33"/>
  </r>
  <r>
    <x v="10"/>
    <x v="3"/>
    <x v="1"/>
    <n v="33"/>
  </r>
  <r>
    <x v="10"/>
    <x v="3"/>
    <x v="1"/>
    <n v="33"/>
  </r>
  <r>
    <x v="9"/>
    <x v="3"/>
    <x v="1"/>
    <n v="33"/>
  </r>
  <r>
    <x v="11"/>
    <x v="5"/>
    <x v="1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49C1F-3DB8-46C0-B47B-22D4EE88F242}" name="Tabela dinâmica1" cacheId="3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3:C14" firstHeaderRow="1" firstDataRow="2" firstDataCol="1"/>
  <pivotFields count="4">
    <pivotField axis="axisRow" showAll="0">
      <items count="17">
        <item x="11"/>
        <item x="2"/>
        <item x="8"/>
        <item x="4"/>
        <item m="1" x="15"/>
        <item m="1" x="12"/>
        <item x="5"/>
        <item x="1"/>
        <item x="0"/>
        <item x="7"/>
        <item x="3"/>
        <item x="6"/>
        <item m="1" x="14"/>
        <item m="1" x="13"/>
        <item x="9"/>
        <item x="10"/>
        <item t="default"/>
      </items>
    </pivotField>
    <pivotField axis="axisRow" showAll="0">
      <items count="15">
        <item sd="0" x="1"/>
        <item h="1" sd="0" m="1" x="11"/>
        <item sd="0" x="5"/>
        <item h="1" sd="0" m="1" x="10"/>
        <item sd="0" x="2"/>
        <item sd="0" x="4"/>
        <item h="1" sd="0" x="0"/>
        <item h="1" sd="0" m="1" x="13"/>
        <item h="1" sd="0" m="1" x="6"/>
        <item h="1" sd="0" m="1" x="9"/>
        <item h="1" sd="0" m="1" x="8"/>
        <item h="1" m="1" x="7"/>
        <item h="1" m="1" x="12"/>
        <item x="3"/>
        <item t="default" sd="0"/>
      </items>
    </pivotField>
    <pivotField axis="axisCol" showAll="0">
      <items count="5">
        <item x="1"/>
        <item m="1" x="3"/>
        <item x="0"/>
        <item m="1" x="2"/>
        <item t="default"/>
      </items>
    </pivotField>
    <pivotField dataField="1" showAll="0"/>
  </pivotFields>
  <rowFields count="2">
    <field x="1"/>
    <field x="0"/>
  </rowFields>
  <rowItems count="10">
    <i>
      <x/>
    </i>
    <i>
      <x v="2"/>
    </i>
    <i>
      <x v="4"/>
    </i>
    <i>
      <x v="5"/>
    </i>
    <i>
      <x v="13"/>
    </i>
    <i r="1">
      <x v="6"/>
    </i>
    <i r="1">
      <x v="11"/>
    </i>
    <i r="1">
      <x v="14"/>
    </i>
    <i r="1">
      <x v="15"/>
    </i>
    <i t="grand">
      <x/>
    </i>
  </rowItems>
  <colFields count="1">
    <field x="2"/>
  </colFields>
  <colItems count="2">
    <i>
      <x/>
    </i>
    <i t="grand">
      <x/>
    </i>
  </colItems>
  <dataFields count="1">
    <dataField name="Soma de Duração em dia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7A3B-8C94-42DC-8A2C-8C82D348D851}">
  <dimension ref="A1:H26"/>
  <sheetViews>
    <sheetView tabSelected="1" zoomScale="80" zoomScaleNormal="80" workbookViewId="0">
      <selection activeCell="I1" sqref="I1"/>
    </sheetView>
  </sheetViews>
  <sheetFormatPr defaultRowHeight="15" x14ac:dyDescent="0.25"/>
  <cols>
    <col min="1" max="1" width="40.28515625" style="5" bestFit="1" customWidth="1"/>
    <col min="2" max="2" width="39.7109375" style="6" bestFit="1" customWidth="1"/>
    <col min="3" max="3" width="23.7109375" style="7" bestFit="1" customWidth="1"/>
    <col min="4" max="4" width="29.28515625" style="5" bestFit="1" customWidth="1"/>
    <col min="5" max="5" width="28.7109375" style="7" bestFit="1" customWidth="1"/>
    <col min="6" max="6" width="27.7109375" style="7" bestFit="1" customWidth="1"/>
    <col min="7" max="7" width="113.140625" customWidth="1"/>
    <col min="8" max="8" width="25.85546875" customWidth="1"/>
  </cols>
  <sheetData>
    <row r="1" spans="1:8" ht="20.25" customHeight="1" x14ac:dyDescent="0.25">
      <c r="A1" s="38" t="s">
        <v>2</v>
      </c>
      <c r="B1" s="39"/>
      <c r="C1" s="39"/>
      <c r="D1" s="39"/>
      <c r="E1" s="39"/>
      <c r="F1" s="40"/>
      <c r="G1" s="33" t="s">
        <v>29</v>
      </c>
      <c r="H1" s="35" t="s">
        <v>4</v>
      </c>
    </row>
    <row r="2" spans="1:8" ht="20.25" customHeight="1" thickBot="1" x14ac:dyDescent="0.3">
      <c r="A2" s="41"/>
      <c r="B2" s="42"/>
      <c r="C2" s="42"/>
      <c r="D2" s="42"/>
      <c r="E2" s="42"/>
      <c r="F2" s="43"/>
      <c r="G2" s="34"/>
      <c r="H2" s="36"/>
    </row>
    <row r="3" spans="1:8" ht="23.25" x14ac:dyDescent="0.35">
      <c r="A3" s="41" t="s">
        <v>20</v>
      </c>
      <c r="B3" s="42"/>
      <c r="C3" s="42"/>
      <c r="D3" s="42"/>
      <c r="E3" s="42"/>
      <c r="F3" s="43"/>
      <c r="G3" s="9"/>
      <c r="H3" s="37">
        <f ca="1">TODAY()</f>
        <v>45994</v>
      </c>
    </row>
    <row r="4" spans="1:8" ht="23.25" x14ac:dyDescent="0.35">
      <c r="A4" s="41"/>
      <c r="B4" s="42"/>
      <c r="C4" s="42"/>
      <c r="D4" s="42"/>
      <c r="E4" s="42"/>
      <c r="F4" s="43"/>
      <c r="G4" s="10"/>
      <c r="H4" s="37"/>
    </row>
    <row r="5" spans="1:8" ht="23.25" x14ac:dyDescent="0.35">
      <c r="A5" s="30" t="s">
        <v>21</v>
      </c>
      <c r="B5" s="31"/>
      <c r="C5" s="31"/>
      <c r="D5" s="31"/>
      <c r="E5" s="31"/>
      <c r="F5" s="32"/>
      <c r="G5" s="10"/>
      <c r="H5" s="37"/>
    </row>
    <row r="6" spans="1:8" ht="23.25" x14ac:dyDescent="0.35">
      <c r="A6" s="30" t="s">
        <v>22</v>
      </c>
      <c r="B6" s="31"/>
      <c r="C6" s="31"/>
      <c r="D6" s="31"/>
      <c r="E6" s="31"/>
      <c r="F6" s="32"/>
      <c r="G6" s="10"/>
      <c r="H6" s="37"/>
    </row>
    <row r="7" spans="1:8" ht="23.25" x14ac:dyDescent="0.35">
      <c r="A7" s="30" t="s">
        <v>23</v>
      </c>
      <c r="B7" s="31"/>
      <c r="C7" s="31"/>
      <c r="D7" s="31"/>
      <c r="E7" s="31"/>
      <c r="F7" s="32"/>
      <c r="G7" s="10"/>
      <c r="H7" s="37"/>
    </row>
    <row r="8" spans="1:8" ht="23.25" x14ac:dyDescent="0.35">
      <c r="A8" s="30" t="s">
        <v>25</v>
      </c>
      <c r="B8" s="31"/>
      <c r="C8" s="31"/>
      <c r="D8" s="31"/>
      <c r="E8" s="31"/>
      <c r="F8" s="32"/>
      <c r="G8" s="10"/>
      <c r="H8" s="37"/>
    </row>
    <row r="9" spans="1:8" ht="23.25" x14ac:dyDescent="0.35">
      <c r="A9" s="30" t="s">
        <v>24</v>
      </c>
      <c r="B9" s="31"/>
      <c r="C9" s="31"/>
      <c r="D9" s="31"/>
      <c r="E9" s="31"/>
      <c r="F9" s="32"/>
      <c r="G9" s="10"/>
      <c r="H9" s="37"/>
    </row>
    <row r="10" spans="1:8" ht="23.25" x14ac:dyDescent="0.35">
      <c r="A10" s="27" t="s">
        <v>32</v>
      </c>
      <c r="B10" s="28"/>
      <c r="C10" s="28"/>
      <c r="D10" s="28"/>
      <c r="E10" s="28"/>
      <c r="F10" s="29"/>
      <c r="G10" s="10"/>
      <c r="H10" s="37"/>
    </row>
    <row r="11" spans="1:8" ht="24" thickBot="1" x14ac:dyDescent="0.4">
      <c r="A11" s="22"/>
      <c r="B11" s="23"/>
      <c r="C11" s="23"/>
      <c r="D11" s="23"/>
      <c r="E11" s="23"/>
      <c r="F11" s="24"/>
      <c r="G11" s="10"/>
      <c r="H11" s="37"/>
    </row>
    <row r="12" spans="1:8" ht="23.25" x14ac:dyDescent="0.35">
      <c r="A12" s="44" t="s">
        <v>9</v>
      </c>
      <c r="B12" s="25" t="s">
        <v>26</v>
      </c>
      <c r="C12" s="46" t="s">
        <v>16</v>
      </c>
      <c r="D12" s="48" t="s">
        <v>17</v>
      </c>
      <c r="E12" s="46" t="s">
        <v>18</v>
      </c>
      <c r="F12" s="50" t="s">
        <v>5</v>
      </c>
      <c r="G12" s="10"/>
      <c r="H12" s="37"/>
    </row>
    <row r="13" spans="1:8" ht="24" thickBot="1" x14ac:dyDescent="0.4">
      <c r="A13" s="45"/>
      <c r="B13" s="26"/>
      <c r="C13" s="47"/>
      <c r="D13" s="49"/>
      <c r="E13" s="47"/>
      <c r="F13" s="51"/>
      <c r="G13" s="10"/>
      <c r="H13" s="11" t="s">
        <v>6</v>
      </c>
    </row>
    <row r="14" spans="1:8" s="8" customFormat="1" ht="30" customHeight="1" x14ac:dyDescent="0.25">
      <c r="A14" s="12" t="s">
        <v>10</v>
      </c>
      <c r="B14" s="12" t="s">
        <v>1</v>
      </c>
      <c r="C14" s="13">
        <v>45936</v>
      </c>
      <c r="D14" s="14">
        <v>14</v>
      </c>
      <c r="E14" s="13">
        <f>C14+D14</f>
        <v>45950</v>
      </c>
      <c r="F14" s="15">
        <v>45949</v>
      </c>
      <c r="G14" s="16"/>
      <c r="H14" s="17" t="str">
        <f>_xlfn.IFS(F14&lt;E14,"Concluído",F14&gt;E14,"Atrasado",F14=E14,"Pendente")</f>
        <v>Concluído</v>
      </c>
    </row>
    <row r="15" spans="1:8" s="8" customFormat="1" ht="30" customHeight="1" x14ac:dyDescent="0.25">
      <c r="A15" s="18" t="s">
        <v>7</v>
      </c>
      <c r="B15" s="18" t="s">
        <v>1</v>
      </c>
      <c r="C15" s="19">
        <v>45936</v>
      </c>
      <c r="D15" s="20">
        <v>16</v>
      </c>
      <c r="E15" s="13">
        <f t="shared" ref="E15:E26" si="0">C15+D15</f>
        <v>45952</v>
      </c>
      <c r="F15" s="21">
        <v>45949</v>
      </c>
      <c r="G15" s="16"/>
      <c r="H15" s="17" t="str">
        <f t="shared" ref="H15:H26" si="1">_xlfn.IFS(F15&lt;E15,"Concluído",F15&gt;E15,"Atrasado",F15=E15,"Pendente")</f>
        <v>Concluído</v>
      </c>
    </row>
    <row r="16" spans="1:8" s="8" customFormat="1" ht="30" customHeight="1" x14ac:dyDescent="0.25">
      <c r="A16" s="18" t="s">
        <v>30</v>
      </c>
      <c r="B16" s="18" t="s">
        <v>0</v>
      </c>
      <c r="C16" s="19">
        <v>45936</v>
      </c>
      <c r="D16" s="20">
        <v>23</v>
      </c>
      <c r="E16" s="13">
        <f t="shared" si="0"/>
        <v>45959</v>
      </c>
      <c r="F16" s="21">
        <v>45958</v>
      </c>
      <c r="G16" s="16"/>
      <c r="H16" s="17" t="str">
        <f t="shared" si="1"/>
        <v>Concluído</v>
      </c>
    </row>
    <row r="17" spans="1:8" s="8" customFormat="1" ht="30" customHeight="1" x14ac:dyDescent="0.25">
      <c r="A17" s="18" t="s">
        <v>11</v>
      </c>
      <c r="B17" s="18" t="s">
        <v>0</v>
      </c>
      <c r="C17" s="19">
        <v>45936</v>
      </c>
      <c r="D17" s="20">
        <v>23</v>
      </c>
      <c r="E17" s="13">
        <f t="shared" si="0"/>
        <v>45959</v>
      </c>
      <c r="F17" s="21">
        <v>45958</v>
      </c>
      <c r="G17" s="16"/>
      <c r="H17" s="17" t="str">
        <f t="shared" si="1"/>
        <v>Concluído</v>
      </c>
    </row>
    <row r="18" spans="1:8" s="8" customFormat="1" ht="30" customHeight="1" x14ac:dyDescent="0.25">
      <c r="A18" s="18" t="s">
        <v>3</v>
      </c>
      <c r="B18" s="18" t="s">
        <v>35</v>
      </c>
      <c r="C18" s="19">
        <v>45936</v>
      </c>
      <c r="D18" s="20">
        <v>57</v>
      </c>
      <c r="E18" s="13">
        <v>45993</v>
      </c>
      <c r="F18" s="21">
        <v>45993</v>
      </c>
      <c r="G18" s="16"/>
      <c r="H18" s="17" t="str">
        <f t="shared" si="1"/>
        <v>Pendente</v>
      </c>
    </row>
    <row r="19" spans="1:8" s="8" customFormat="1" ht="30" customHeight="1" x14ac:dyDescent="0.25">
      <c r="A19" s="18" t="s">
        <v>31</v>
      </c>
      <c r="B19" s="18" t="s">
        <v>35</v>
      </c>
      <c r="C19" s="19">
        <v>45936</v>
      </c>
      <c r="D19" s="20">
        <v>57</v>
      </c>
      <c r="E19" s="13">
        <v>45985</v>
      </c>
      <c r="F19" s="21">
        <v>45984</v>
      </c>
      <c r="G19" s="16"/>
      <c r="H19" s="17" t="str">
        <f t="shared" si="1"/>
        <v>Concluído</v>
      </c>
    </row>
    <row r="20" spans="1:8" s="8" customFormat="1" ht="30" customHeight="1" x14ac:dyDescent="0.25">
      <c r="A20" s="18" t="s">
        <v>2</v>
      </c>
      <c r="B20" s="18" t="s">
        <v>27</v>
      </c>
      <c r="C20" s="19">
        <v>45936</v>
      </c>
      <c r="D20" s="20">
        <v>12</v>
      </c>
      <c r="E20" s="13">
        <f t="shared" si="0"/>
        <v>45948</v>
      </c>
      <c r="F20" s="21">
        <v>45947</v>
      </c>
      <c r="G20" s="16"/>
      <c r="H20" s="17" t="str">
        <f t="shared" si="1"/>
        <v>Concluído</v>
      </c>
    </row>
    <row r="21" spans="1:8" s="8" customFormat="1" ht="30" customHeight="1" x14ac:dyDescent="0.25">
      <c r="A21" s="18" t="s">
        <v>12</v>
      </c>
      <c r="B21" s="18" t="s">
        <v>27</v>
      </c>
      <c r="C21" s="19">
        <v>45936</v>
      </c>
      <c r="D21" s="20">
        <v>12</v>
      </c>
      <c r="E21" s="13">
        <f t="shared" si="0"/>
        <v>45948</v>
      </c>
      <c r="F21" s="21">
        <v>45947</v>
      </c>
      <c r="G21" s="16"/>
      <c r="H21" s="17" t="str">
        <f t="shared" si="1"/>
        <v>Concluído</v>
      </c>
    </row>
    <row r="22" spans="1:8" s="8" customFormat="1" ht="30" customHeight="1" x14ac:dyDescent="0.25">
      <c r="A22" s="18" t="s">
        <v>34</v>
      </c>
      <c r="B22" s="18" t="s">
        <v>35</v>
      </c>
      <c r="C22" s="19">
        <v>45936</v>
      </c>
      <c r="D22" s="20">
        <v>33</v>
      </c>
      <c r="E22" s="13">
        <f t="shared" si="0"/>
        <v>45969</v>
      </c>
      <c r="F22" s="21">
        <v>45967</v>
      </c>
      <c r="G22" s="16"/>
      <c r="H22" s="17" t="str">
        <f t="shared" si="1"/>
        <v>Concluído</v>
      </c>
    </row>
    <row r="23" spans="1:8" s="8" customFormat="1" ht="30" customHeight="1" x14ac:dyDescent="0.25">
      <c r="A23" s="18" t="s">
        <v>33</v>
      </c>
      <c r="B23" s="18" t="s">
        <v>35</v>
      </c>
      <c r="C23" s="19">
        <v>45936</v>
      </c>
      <c r="D23" s="20">
        <v>33</v>
      </c>
      <c r="E23" s="13">
        <f t="shared" si="0"/>
        <v>45969</v>
      </c>
      <c r="F23" s="21">
        <v>45967</v>
      </c>
      <c r="G23" s="16"/>
      <c r="H23" s="17" t="str">
        <f t="shared" si="1"/>
        <v>Concluído</v>
      </c>
    </row>
    <row r="24" spans="1:8" s="8" customFormat="1" ht="30" customHeight="1" x14ac:dyDescent="0.25">
      <c r="A24" s="18" t="s">
        <v>33</v>
      </c>
      <c r="B24" s="18" t="s">
        <v>35</v>
      </c>
      <c r="C24" s="19">
        <v>45936</v>
      </c>
      <c r="D24" s="20">
        <v>33</v>
      </c>
      <c r="E24" s="13">
        <f t="shared" si="0"/>
        <v>45969</v>
      </c>
      <c r="F24" s="21">
        <v>45967</v>
      </c>
      <c r="G24" s="16"/>
      <c r="H24" s="17" t="str">
        <f t="shared" si="1"/>
        <v>Concluído</v>
      </c>
    </row>
    <row r="25" spans="1:8" s="8" customFormat="1" ht="30" customHeight="1" x14ac:dyDescent="0.25">
      <c r="A25" s="18" t="s">
        <v>34</v>
      </c>
      <c r="B25" s="18" t="s">
        <v>35</v>
      </c>
      <c r="C25" s="19">
        <v>45936</v>
      </c>
      <c r="D25" s="20">
        <v>33</v>
      </c>
      <c r="E25" s="13">
        <f t="shared" si="0"/>
        <v>45969</v>
      </c>
      <c r="F25" s="21">
        <v>45967</v>
      </c>
      <c r="G25" s="16"/>
      <c r="H25" s="17" t="str">
        <f t="shared" si="1"/>
        <v>Concluído</v>
      </c>
    </row>
    <row r="26" spans="1:8" s="8" customFormat="1" ht="30" customHeight="1" x14ac:dyDescent="0.25">
      <c r="A26" s="18" t="s">
        <v>28</v>
      </c>
      <c r="B26" s="18" t="s">
        <v>8</v>
      </c>
      <c r="C26" s="19">
        <v>45936</v>
      </c>
      <c r="D26" s="20">
        <v>33</v>
      </c>
      <c r="E26" s="13">
        <f t="shared" si="0"/>
        <v>45969</v>
      </c>
      <c r="F26" s="21">
        <v>45968</v>
      </c>
      <c r="G26" s="16"/>
      <c r="H26" s="17" t="str">
        <f t="shared" si="1"/>
        <v>Concluído</v>
      </c>
    </row>
  </sheetData>
  <mergeCells count="18">
    <mergeCell ref="H1:H2"/>
    <mergeCell ref="H3:H12"/>
    <mergeCell ref="A1:F2"/>
    <mergeCell ref="A3:F4"/>
    <mergeCell ref="A12:A13"/>
    <mergeCell ref="C12:C13"/>
    <mergeCell ref="D12:D13"/>
    <mergeCell ref="E12:E13"/>
    <mergeCell ref="F12:F13"/>
    <mergeCell ref="A5:F5"/>
    <mergeCell ref="A6:F6"/>
    <mergeCell ref="A7:F7"/>
    <mergeCell ref="A8:F8"/>
    <mergeCell ref="A11:F11"/>
    <mergeCell ref="B12:B13"/>
    <mergeCell ref="A10:F10"/>
    <mergeCell ref="A9:F9"/>
    <mergeCell ref="G1:G2"/>
  </mergeCells>
  <conditionalFormatting sqref="H13:H1048576">
    <cfRule type="containsText" dxfId="4" priority="6" operator="containsText" text="Atrasado">
      <formula>NOT(ISERROR(SEARCH("Atrasado",H13)))</formula>
    </cfRule>
    <cfRule type="containsText" dxfId="3" priority="7" operator="containsText" text="Concluído">
      <formula>NOT(ISERROR(SEARCH("Concluído",H13)))</formula>
    </cfRule>
  </conditionalFormatting>
  <conditionalFormatting sqref="H1 H3">
    <cfRule type="containsText" dxfId="2" priority="2" operator="containsText" text="Atrasado">
      <formula>NOT(ISERROR(SEARCH("Atrasado",H1)))</formula>
    </cfRule>
    <cfRule type="containsText" dxfId="1" priority="3" operator="containsText" text="Concluído">
      <formula>NOT(ISERROR(SEARCH("Concluído",H1)))</formula>
    </cfRule>
  </conditionalFormatting>
  <conditionalFormatting sqref="H14:H26">
    <cfRule type="containsText" dxfId="0" priority="1" operator="containsText" text="Pendente">
      <formula>NOT(ISERROR(SEARCH("Pendente",H14)))</formula>
    </cfRule>
  </conditionalFormatting>
  <conditionalFormatting sqref="G14:G2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C6AD-29B4-4C75-9D78-C87B851E90DC}">
  <dimension ref="A3:C14"/>
  <sheetViews>
    <sheetView workbookViewId="0">
      <selection activeCell="H28" sqref="G28:H28"/>
    </sheetView>
  </sheetViews>
  <sheetFormatPr defaultRowHeight="15" x14ac:dyDescent="0.25"/>
  <cols>
    <col min="1" max="1" width="24.5703125" bestFit="1" customWidth="1"/>
    <col min="2" max="2" width="19.5703125" bestFit="1" customWidth="1"/>
    <col min="3" max="6" width="10.7109375" bestFit="1" customWidth="1"/>
  </cols>
  <sheetData>
    <row r="3" spans="1:3" x14ac:dyDescent="0.25">
      <c r="A3" s="2" t="s">
        <v>19</v>
      </c>
      <c r="B3" s="2" t="s">
        <v>15</v>
      </c>
    </row>
    <row r="4" spans="1:3" x14ac:dyDescent="0.25">
      <c r="A4" s="2" t="s">
        <v>13</v>
      </c>
      <c r="B4" s="1">
        <v>45936</v>
      </c>
      <c r="C4" t="s">
        <v>14</v>
      </c>
    </row>
    <row r="5" spans="1:3" x14ac:dyDescent="0.25">
      <c r="A5" s="3" t="s">
        <v>1</v>
      </c>
      <c r="B5" s="4">
        <v>30</v>
      </c>
      <c r="C5" s="4">
        <v>30</v>
      </c>
    </row>
    <row r="6" spans="1:3" x14ac:dyDescent="0.25">
      <c r="A6" s="3" t="s">
        <v>8</v>
      </c>
      <c r="B6" s="4">
        <v>33</v>
      </c>
      <c r="C6" s="4">
        <v>33</v>
      </c>
    </row>
    <row r="7" spans="1:3" x14ac:dyDescent="0.25">
      <c r="A7" s="3" t="s">
        <v>0</v>
      </c>
      <c r="B7" s="4">
        <v>46</v>
      </c>
      <c r="C7" s="4">
        <v>46</v>
      </c>
    </row>
    <row r="8" spans="1:3" x14ac:dyDescent="0.25">
      <c r="A8" s="3" t="s">
        <v>27</v>
      </c>
      <c r="B8" s="4">
        <v>24</v>
      </c>
      <c r="C8" s="4">
        <v>24</v>
      </c>
    </row>
    <row r="9" spans="1:3" x14ac:dyDescent="0.25">
      <c r="A9" s="3" t="s">
        <v>35</v>
      </c>
      <c r="B9" s="4">
        <v>246</v>
      </c>
      <c r="C9" s="4">
        <v>246</v>
      </c>
    </row>
    <row r="10" spans="1:3" x14ac:dyDescent="0.25">
      <c r="A10" s="52" t="s">
        <v>3</v>
      </c>
      <c r="B10" s="4">
        <v>57</v>
      </c>
      <c r="C10" s="4">
        <v>57</v>
      </c>
    </row>
    <row r="11" spans="1:3" x14ac:dyDescent="0.25">
      <c r="A11" s="52" t="s">
        <v>31</v>
      </c>
      <c r="B11" s="4">
        <v>57</v>
      </c>
      <c r="C11" s="4">
        <v>57</v>
      </c>
    </row>
    <row r="12" spans="1:3" x14ac:dyDescent="0.25">
      <c r="A12" s="52" t="s">
        <v>34</v>
      </c>
      <c r="B12" s="4">
        <v>66</v>
      </c>
      <c r="C12" s="4">
        <v>66</v>
      </c>
    </row>
    <row r="13" spans="1:3" x14ac:dyDescent="0.25">
      <c r="A13" s="52" t="s">
        <v>33</v>
      </c>
      <c r="B13" s="4">
        <v>66</v>
      </c>
      <c r="C13" s="4">
        <v>66</v>
      </c>
    </row>
    <row r="14" spans="1:3" x14ac:dyDescent="0.25">
      <c r="A14" s="3" t="s">
        <v>14</v>
      </c>
      <c r="B14" s="4">
        <v>379</v>
      </c>
      <c r="C14" s="4">
        <v>379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2B7893C5F07942BCF73DDC6B37CDD7" ma:contentTypeVersion="9" ma:contentTypeDescription="Create a new document." ma:contentTypeScope="" ma:versionID="97f602836fcf1a1cdc9f602b7af7ffc3">
  <xsd:schema xmlns:xsd="http://www.w3.org/2001/XMLSchema" xmlns:xs="http://www.w3.org/2001/XMLSchema" xmlns:p="http://schemas.microsoft.com/office/2006/metadata/properties" xmlns:ns3="8b4ed022-6705-4cac-96bf-fa54c8b5900a" targetNamespace="http://schemas.microsoft.com/office/2006/metadata/properties" ma:root="true" ma:fieldsID="6609e7cb5beb52825fa50237b7a43221" ns3:_="">
    <xsd:import namespace="8b4ed022-6705-4cac-96bf-fa54c8b590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d022-6705-4cac-96bf-fa54c8b590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4ed022-6705-4cac-96bf-fa54c8b5900a" xsi:nil="true"/>
  </documentManagement>
</p:properties>
</file>

<file path=customXml/itemProps1.xml><?xml version="1.0" encoding="utf-8"?>
<ds:datastoreItem xmlns:ds="http://schemas.openxmlformats.org/officeDocument/2006/customXml" ds:itemID="{033C67AE-15B3-49D8-9903-CFFB0C8669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9D771D-8D94-44AD-B102-DE7F98B4ACA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b4ed022-6705-4cac-96bf-fa54c8b5900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4F2DF9-C677-4D22-89CA-83F2869B93E7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8b4ed022-6705-4cac-96bf-fa54c8b5900a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Novo Gantt</vt:lpstr>
      <vt:lpstr>Gráfico Gantt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2019-03-19T17:17:03Z</dcterms:created>
  <dcterms:modified xsi:type="dcterms:W3CDTF">2025-12-04T00:36:55Z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0x010100662B7893C5F07942BCF73DDC6B37CDD7</vt:lpwstr>
  </property>
</Properties>
</file>